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\Documents\ee308\lab3\"/>
    </mc:Choice>
  </mc:AlternateContent>
  <xr:revisionPtr revIDLastSave="0" documentId="13_ncr:1_{ABA3B4F1-440C-440A-B8DB-B6980ADDAC24}" xr6:coauthVersionLast="47" xr6:coauthVersionMax="47" xr10:uidLastSave="{00000000-0000-0000-0000-000000000000}"/>
  <bookViews>
    <workbookView xWindow="-108" yWindow="-108" windowWidth="23256" windowHeight="13896" xr2:uid="{6D593E26-2781-43F2-85ED-91EEC0578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H3" i="1"/>
  <c r="H4" i="1"/>
  <c r="H5" i="1"/>
  <c r="H6" i="1"/>
  <c r="H7" i="1"/>
  <c r="I2" i="1"/>
  <c r="H2" i="1"/>
  <c r="B11" i="1"/>
  <c r="B10" i="1"/>
  <c r="E7" i="1"/>
  <c r="D7" i="1"/>
  <c r="E3" i="1"/>
  <c r="E4" i="1"/>
  <c r="E5" i="1"/>
  <c r="E6" i="1"/>
  <c r="E2" i="1"/>
  <c r="D3" i="1"/>
  <c r="D4" i="1"/>
  <c r="D5" i="1"/>
  <c r="D6" i="1"/>
  <c r="D2" i="1"/>
  <c r="J7" i="1" l="1"/>
  <c r="K3" i="1"/>
  <c r="J3" i="1"/>
  <c r="K4" i="1"/>
  <c r="K5" i="1"/>
  <c r="K6" i="1"/>
  <c r="J4" i="1"/>
  <c r="J6" i="1"/>
  <c r="J2" i="1"/>
  <c r="K2" i="1"/>
  <c r="K7" i="1"/>
  <c r="J5" i="1"/>
</calcChain>
</file>

<file path=xl/sharedStrings.xml><?xml version="1.0" encoding="utf-8"?>
<sst xmlns="http://schemas.openxmlformats.org/spreadsheetml/2006/main" count="20" uniqueCount="20">
  <si>
    <t>Switch position</t>
  </si>
  <si>
    <t>Freq Low</t>
  </si>
  <si>
    <t>Freq High</t>
  </si>
  <si>
    <t>Vpp (V)</t>
  </si>
  <si>
    <t>T low (s)</t>
  </si>
  <si>
    <t>T high (s)</t>
  </si>
  <si>
    <t>C</t>
  </si>
  <si>
    <t>C (uF)</t>
  </si>
  <si>
    <t>I low (mA)</t>
  </si>
  <si>
    <t>I high (mA)</t>
  </si>
  <si>
    <t>Vdrop high (V)</t>
  </si>
  <si>
    <t>Vdrop low (V)</t>
  </si>
  <si>
    <t xml:space="preserve">R low </t>
  </si>
  <si>
    <t>R high</t>
  </si>
  <si>
    <t>100uF</t>
  </si>
  <si>
    <t>10uF</t>
  </si>
  <si>
    <t>1uF</t>
  </si>
  <si>
    <t>100nF</t>
  </si>
  <si>
    <t>10nF</t>
  </si>
  <si>
    <t>1nF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</si>
</sst>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EB93-BF18-4EA5-B915-4A3925D9CDE5}">
  <dimension ref="A1:K11"/>
  <sheetViews>
    <sheetView tabSelected="1" workbookViewId="0">
      <selection activeCell="C8" sqref="C8"/>
    </sheetView>
  </sheetViews>
  <sheetFormatPr defaultRowHeight="14.4" x14ac:dyDescent="0.3"/>
  <cols>
    <col min="1" max="1" width="13.109375" bestFit="1" customWidth="1"/>
    <col min="7" max="7" width="12" bestFit="1" customWidth="1"/>
    <col min="8" max="8" width="9.21875" bestFit="1" customWidth="1"/>
    <col min="9" max="9" width="9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12</v>
      </c>
      <c r="K1" s="1" t="s">
        <v>13</v>
      </c>
    </row>
    <row r="2" spans="1:11" x14ac:dyDescent="0.3">
      <c r="A2">
        <v>1</v>
      </c>
      <c r="B2">
        <v>2</v>
      </c>
      <c r="C2">
        <v>20</v>
      </c>
      <c r="D2">
        <f>1/B2/2</f>
        <v>0.25</v>
      </c>
      <c r="E2">
        <f>1/C2/2</f>
        <v>2.5000000000000001E-2</v>
      </c>
      <c r="F2" t="s">
        <v>14</v>
      </c>
      <c r="G2">
        <v>100</v>
      </c>
      <c r="H2">
        <f>G2*0.000001*$B$9/D2*1000</f>
        <v>0.79999999999999993</v>
      </c>
      <c r="I2">
        <f>G2*0.000001*$B$9/E2*1000</f>
        <v>7.9999999999999982</v>
      </c>
      <c r="J2">
        <f>$B$10/H2</f>
        <v>1.25</v>
      </c>
      <c r="K2">
        <f>$B$11/I2</f>
        <v>1.3750000000000002</v>
      </c>
    </row>
    <row r="3" spans="1:11" x14ac:dyDescent="0.3">
      <c r="A3">
        <v>2</v>
      </c>
      <c r="B3">
        <v>20</v>
      </c>
      <c r="C3">
        <v>200</v>
      </c>
      <c r="D3">
        <f t="shared" ref="D3:D6" si="0">1/B3/2</f>
        <v>2.5000000000000001E-2</v>
      </c>
      <c r="E3">
        <f t="shared" ref="E3:E6" si="1">1/C3/2</f>
        <v>2.5000000000000001E-3</v>
      </c>
      <c r="F3" t="s">
        <v>15</v>
      </c>
      <c r="G3">
        <v>10</v>
      </c>
      <c r="H3">
        <f t="shared" ref="H3:H7" si="2">G3*0.000001*$B$9/D3*1000</f>
        <v>0.79999999999999993</v>
      </c>
      <c r="I3">
        <f t="shared" ref="I3:I7" si="3">G3*0.000001*$B$9/E3*1000</f>
        <v>7.9999999999999982</v>
      </c>
      <c r="J3">
        <f t="shared" ref="J3:J7" si="4">$B$10/H3</f>
        <v>1.25</v>
      </c>
      <c r="K3">
        <f t="shared" ref="K3:K7" si="5">$B$11/I3</f>
        <v>1.3750000000000002</v>
      </c>
    </row>
    <row r="4" spans="1:11" x14ac:dyDescent="0.3">
      <c r="A4">
        <v>3</v>
      </c>
      <c r="B4">
        <v>200</v>
      </c>
      <c r="C4">
        <v>2000</v>
      </c>
      <c r="D4">
        <f t="shared" si="0"/>
        <v>2.5000000000000001E-3</v>
      </c>
      <c r="E4">
        <f t="shared" si="1"/>
        <v>2.5000000000000001E-4</v>
      </c>
      <c r="F4" t="s">
        <v>16</v>
      </c>
      <c r="G4">
        <v>1</v>
      </c>
      <c r="H4">
        <f t="shared" si="2"/>
        <v>0.79999999999999993</v>
      </c>
      <c r="I4">
        <f t="shared" si="3"/>
        <v>8</v>
      </c>
      <c r="J4">
        <f t="shared" si="4"/>
        <v>1.25</v>
      </c>
      <c r="K4">
        <f t="shared" si="5"/>
        <v>1.375</v>
      </c>
    </row>
    <row r="5" spans="1:11" x14ac:dyDescent="0.3">
      <c r="A5">
        <v>4</v>
      </c>
      <c r="B5">
        <v>2000</v>
      </c>
      <c r="C5">
        <v>20000</v>
      </c>
      <c r="D5">
        <f t="shared" si="0"/>
        <v>2.5000000000000001E-4</v>
      </c>
      <c r="E5">
        <f t="shared" si="1"/>
        <v>2.5000000000000001E-5</v>
      </c>
      <c r="F5" t="s">
        <v>17</v>
      </c>
      <c r="G5">
        <v>0.1</v>
      </c>
      <c r="H5">
        <f t="shared" si="2"/>
        <v>0.79999999999999993</v>
      </c>
      <c r="I5">
        <f t="shared" si="3"/>
        <v>7.9999999999999982</v>
      </c>
      <c r="J5">
        <f t="shared" si="4"/>
        <v>1.25</v>
      </c>
      <c r="K5">
        <f t="shared" si="5"/>
        <v>1.3750000000000002</v>
      </c>
    </row>
    <row r="6" spans="1:11" x14ac:dyDescent="0.3">
      <c r="A6">
        <v>5</v>
      </c>
      <c r="B6">
        <v>20000</v>
      </c>
      <c r="C6">
        <v>200000</v>
      </c>
      <c r="D6">
        <f t="shared" si="0"/>
        <v>2.5000000000000001E-5</v>
      </c>
      <c r="E6">
        <f t="shared" si="1"/>
        <v>2.5000000000000002E-6</v>
      </c>
      <c r="F6" t="s">
        <v>18</v>
      </c>
      <c r="G6">
        <v>0.01</v>
      </c>
      <c r="H6">
        <f t="shared" si="2"/>
        <v>0.79999999999999993</v>
      </c>
      <c r="I6">
        <f t="shared" si="3"/>
        <v>8</v>
      </c>
      <c r="J6">
        <f t="shared" si="4"/>
        <v>1.25</v>
      </c>
      <c r="K6">
        <f t="shared" si="5"/>
        <v>1.375</v>
      </c>
    </row>
    <row r="7" spans="1:11" x14ac:dyDescent="0.3">
      <c r="A7">
        <v>6</v>
      </c>
      <c r="B7">
        <v>200000</v>
      </c>
      <c r="C7">
        <v>2000000</v>
      </c>
      <c r="D7">
        <f>1/B7/2</f>
        <v>2.5000000000000002E-6</v>
      </c>
      <c r="E7">
        <f>1/C7/2</f>
        <v>2.4999999999999999E-7</v>
      </c>
      <c r="F7" t="s">
        <v>19</v>
      </c>
      <c r="G7">
        <v>1E-3</v>
      </c>
      <c r="H7">
        <f t="shared" si="2"/>
        <v>0.8</v>
      </c>
      <c r="I7">
        <f t="shared" si="3"/>
        <v>8</v>
      </c>
      <c r="J7">
        <f t="shared" si="4"/>
        <v>1.25</v>
      </c>
      <c r="K7">
        <f t="shared" si="5"/>
        <v>1.375</v>
      </c>
    </row>
    <row r="9" spans="1:11" x14ac:dyDescent="0.3">
      <c r="A9" t="s">
        <v>3</v>
      </c>
      <c r="B9">
        <v>2</v>
      </c>
    </row>
    <row r="10" spans="1:11" x14ac:dyDescent="0.3">
      <c r="A10" t="s">
        <v>11</v>
      </c>
      <c r="B10">
        <f>12-11</f>
        <v>1</v>
      </c>
    </row>
    <row r="11" spans="1:11" x14ac:dyDescent="0.3">
      <c r="A11" t="s">
        <v>10</v>
      </c>
      <c r="B11">
        <f>12-1</f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Hittson</dc:creator>
  <cp:lastModifiedBy>Finn Hittson</cp:lastModifiedBy>
  <dcterms:created xsi:type="dcterms:W3CDTF">2026-05-10T23:54:58Z</dcterms:created>
  <dcterms:modified xsi:type="dcterms:W3CDTF">2026-05-15T03:45:32Z</dcterms:modified>
</cp:coreProperties>
</file>